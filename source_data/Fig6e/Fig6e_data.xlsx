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WorkSpace\Caolab\1_Projects\SESA_all\13_SESACode\git补充sourcedata\source_data\Fig6e\"/>
    </mc:Choice>
  </mc:AlternateContent>
  <xr:revisionPtr revIDLastSave="0" documentId="13_ncr:1_{4314167D-5F55-4FEE-BF62-9C4A1CEF4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g2d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27" i="2"/>
  <c r="G19" i="2"/>
  <c r="G20" i="2"/>
  <c r="G21" i="2"/>
  <c r="G22" i="2"/>
  <c r="G23" i="2"/>
  <c r="G24" i="2"/>
  <c r="F20" i="2"/>
  <c r="F21" i="2"/>
  <c r="F22" i="2"/>
  <c r="F23" i="2"/>
  <c r="F24" i="2"/>
  <c r="F18" i="2"/>
  <c r="F19" i="2"/>
  <c r="G18" i="2"/>
  <c r="F28" i="2"/>
  <c r="F29" i="2"/>
  <c r="F30" i="2"/>
  <c r="F31" i="2"/>
  <c r="F32" i="2"/>
  <c r="F33" i="2"/>
  <c r="F34" i="2"/>
  <c r="F27" i="2"/>
  <c r="G11" i="2"/>
  <c r="G12" i="2"/>
  <c r="G13" i="2"/>
  <c r="G14" i="2"/>
  <c r="G15" i="2"/>
  <c r="G10" i="2"/>
  <c r="F11" i="2"/>
  <c r="F12" i="2"/>
  <c r="F13" i="2"/>
  <c r="F14" i="2"/>
  <c r="F15" i="2"/>
  <c r="F10" i="2"/>
  <c r="G3" i="2"/>
  <c r="G4" i="2"/>
  <c r="G5" i="2"/>
  <c r="G6" i="2"/>
  <c r="G7" i="2"/>
  <c r="G2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<sst xmlns="http://schemas.openxmlformats.org/spreadsheetml/2006/main" count="32" uniqueCount="10">
  <si>
    <t>μg/ml</t>
  </si>
  <si>
    <t>mean</t>
    <phoneticPr fontId="1" type="noConversion"/>
  </si>
  <si>
    <t>std</t>
    <phoneticPr fontId="1" type="noConversion"/>
  </si>
  <si>
    <t>Antibody</t>
    <phoneticPr fontId="1" type="noConversion"/>
  </si>
  <si>
    <t>SARS</t>
  </si>
  <si>
    <t>SARS-2</t>
  </si>
  <si>
    <t>CR3022</t>
    <phoneticPr fontId="1" type="noConversion"/>
  </si>
  <si>
    <t>SARS</t>
    <phoneticPr fontId="1" type="noConversion"/>
  </si>
  <si>
    <t>PW5-535</t>
  </si>
  <si>
    <t>PW5-535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</si>
</sst>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AD78-B77C-4173-93C8-79FD4036B497}">
  <dimension ref="A1:K34"/>
  <sheetViews>
    <sheetView tabSelected="1" topLeftCell="A10" workbookViewId="0">
      <selection activeCell="F26" sqref="F26"/>
    </sheetView>
  </sheetViews>
  <sheetFormatPr defaultRowHeight="13.8" x14ac:dyDescent="0.25"/>
  <cols>
    <col min="1" max="1" width="9.44140625" style="1" bestFit="1" customWidth="1"/>
  </cols>
  <sheetData>
    <row r="1" spans="1:11" x14ac:dyDescent="0.25">
      <c r="A1" s="6" t="s">
        <v>9</v>
      </c>
      <c r="B1" s="4" t="s">
        <v>0</v>
      </c>
      <c r="C1" s="9" t="s">
        <v>4</v>
      </c>
      <c r="D1" s="9"/>
      <c r="E1" s="9"/>
      <c r="F1" s="3" t="s">
        <v>1</v>
      </c>
      <c r="G1" s="3" t="s">
        <v>2</v>
      </c>
      <c r="I1" s="3" t="s">
        <v>3</v>
      </c>
      <c r="J1" s="3" t="s">
        <v>1</v>
      </c>
      <c r="K1" s="3" t="s">
        <v>2</v>
      </c>
    </row>
    <row r="2" spans="1:11" x14ac:dyDescent="0.25">
      <c r="A2" s="7"/>
      <c r="B2" s="2">
        <v>100</v>
      </c>
      <c r="C2" s="2">
        <v>97.905420000000007</v>
      </c>
      <c r="D2" s="2">
        <v>99.917619999999999</v>
      </c>
      <c r="E2" s="2">
        <v>98.583860000000001</v>
      </c>
      <c r="F2" s="3">
        <f>AVERAGEA(C2:E2)</f>
        <v>98.802300000000002</v>
      </c>
      <c r="G2" s="3">
        <f>_xlfn.STDEV.P(C2:E2)</f>
        <v>0.83587249234955807</v>
      </c>
      <c r="I2" s="3">
        <v>100</v>
      </c>
      <c r="J2" s="3">
        <v>98.802300000000002</v>
      </c>
      <c r="K2" s="3">
        <v>0.83587249234955807</v>
      </c>
    </row>
    <row r="3" spans="1:11" x14ac:dyDescent="0.25">
      <c r="A3" s="7"/>
      <c r="B3" s="2">
        <v>20</v>
      </c>
      <c r="C3" s="2">
        <v>95.064729999999997</v>
      </c>
      <c r="D3" s="2">
        <v>94.707719999999995</v>
      </c>
      <c r="E3" s="2">
        <v>95.867710000000002</v>
      </c>
      <c r="F3" s="3">
        <f t="shared" ref="F3:F7" si="0">AVERAGEA(C3:E3)</f>
        <v>95.213386666666665</v>
      </c>
      <c r="G3" s="3">
        <f t="shared" ref="G3:G7" si="1">_xlfn.STDEV.P(C3:E3)</f>
        <v>0.48508989093660976</v>
      </c>
      <c r="I3" s="3">
        <v>20</v>
      </c>
      <c r="J3" s="3">
        <v>95.213386666666665</v>
      </c>
      <c r="K3" s="3">
        <v>0.48508989093660976</v>
      </c>
    </row>
    <row r="4" spans="1:11" x14ac:dyDescent="0.25">
      <c r="A4" s="7"/>
      <c r="B4" s="2">
        <v>4</v>
      </c>
      <c r="C4" s="2">
        <v>82.598339999999993</v>
      </c>
      <c r="D4" s="2">
        <v>81.121660000000006</v>
      </c>
      <c r="E4" s="2">
        <v>82.275130000000004</v>
      </c>
      <c r="F4" s="3">
        <f t="shared" si="0"/>
        <v>81.998376666666672</v>
      </c>
      <c r="G4" s="3">
        <f t="shared" si="1"/>
        <v>0.63381924933076705</v>
      </c>
      <c r="I4" s="3">
        <v>4</v>
      </c>
      <c r="J4" s="3">
        <v>81.998376666666672</v>
      </c>
      <c r="K4" s="3">
        <v>0.63381924933076705</v>
      </c>
    </row>
    <row r="5" spans="1:11" x14ac:dyDescent="0.25">
      <c r="A5" s="7"/>
      <c r="B5" s="2">
        <v>0.8</v>
      </c>
      <c r="C5" s="2">
        <v>60.44218</v>
      </c>
      <c r="D5" s="2">
        <v>56.057209999999998</v>
      </c>
      <c r="E5" s="2">
        <v>57.159089999999999</v>
      </c>
      <c r="F5" s="3">
        <f t="shared" si="0"/>
        <v>57.886159999999997</v>
      </c>
      <c r="G5" s="3">
        <f t="shared" si="1"/>
        <v>1.8625186466896568</v>
      </c>
      <c r="I5" s="3">
        <v>0.8</v>
      </c>
      <c r="J5" s="3">
        <v>57.886159999999997</v>
      </c>
      <c r="K5" s="3">
        <v>1.8625186466896568</v>
      </c>
    </row>
    <row r="6" spans="1:11" x14ac:dyDescent="0.25">
      <c r="A6" s="7"/>
      <c r="B6" s="2">
        <v>0.16</v>
      </c>
      <c r="C6" s="2">
        <v>20.264589999999998</v>
      </c>
      <c r="D6" s="2">
        <v>8.5015440000000009</v>
      </c>
      <c r="E6" s="2">
        <v>22.793330000000001</v>
      </c>
      <c r="F6" s="3">
        <f t="shared" si="0"/>
        <v>17.186488000000001</v>
      </c>
      <c r="G6" s="3">
        <f t="shared" si="1"/>
        <v>6.227349393829976</v>
      </c>
      <c r="I6" s="3">
        <v>0.16</v>
      </c>
      <c r="J6" s="3">
        <v>17.186488000000001</v>
      </c>
      <c r="K6" s="3">
        <v>6.227349393829976</v>
      </c>
    </row>
    <row r="7" spans="1:11" x14ac:dyDescent="0.25">
      <c r="A7" s="8"/>
      <c r="B7" s="2">
        <v>3.2000000000000001E-2</v>
      </c>
      <c r="C7" s="2">
        <v>9.1610099999999992</v>
      </c>
      <c r="D7" s="2">
        <v>0.106402</v>
      </c>
      <c r="E7" s="2">
        <v>6.0694670000000004</v>
      </c>
      <c r="F7" s="3">
        <f t="shared" si="0"/>
        <v>5.1122930000000002</v>
      </c>
      <c r="G7" s="3">
        <f t="shared" si="1"/>
        <v>3.7579797815779519</v>
      </c>
      <c r="I7" s="3">
        <v>3.2000000000000001E-2</v>
      </c>
      <c r="J7" s="3">
        <v>5.1122930000000002</v>
      </c>
      <c r="K7" s="3">
        <v>3.7579797815779519</v>
      </c>
    </row>
    <row r="9" spans="1:11" x14ac:dyDescent="0.25">
      <c r="A9" s="6" t="s">
        <v>8</v>
      </c>
      <c r="B9" s="4" t="s">
        <v>0</v>
      </c>
      <c r="C9" s="9" t="s">
        <v>5</v>
      </c>
      <c r="D9" s="9"/>
      <c r="E9" s="9"/>
      <c r="F9" s="3" t="s">
        <v>1</v>
      </c>
      <c r="G9" s="3" t="s">
        <v>2</v>
      </c>
      <c r="I9" s="3" t="s">
        <v>3</v>
      </c>
      <c r="J9" s="3" t="s">
        <v>1</v>
      </c>
      <c r="K9" s="3" t="s">
        <v>2</v>
      </c>
    </row>
    <row r="10" spans="1:11" x14ac:dyDescent="0.25">
      <c r="A10" s="7"/>
      <c r="B10" s="2">
        <v>100</v>
      </c>
      <c r="C10" s="2">
        <v>99.876440000000002</v>
      </c>
      <c r="D10" s="2">
        <v>99.665850000000006</v>
      </c>
      <c r="E10" s="2">
        <v>99.846739999999997</v>
      </c>
      <c r="F10" s="3">
        <f>AVERAGEA(C10:E10)</f>
        <v>99.796343333333326</v>
      </c>
      <c r="G10" s="3">
        <f>_xlfn.STDEV.P(C10:E10)</f>
        <v>9.3065944481435944E-2</v>
      </c>
      <c r="I10" s="3">
        <v>100</v>
      </c>
      <c r="J10" s="3">
        <v>99.796343333333326</v>
      </c>
      <c r="K10" s="3">
        <v>9.3065944481435944E-2</v>
      </c>
    </row>
    <row r="11" spans="1:11" x14ac:dyDescent="0.25">
      <c r="A11" s="7"/>
      <c r="B11" s="2">
        <v>20</v>
      </c>
      <c r="C11" s="2">
        <v>98.714979999999997</v>
      </c>
      <c r="D11" s="2">
        <v>98.908829999999995</v>
      </c>
      <c r="E11" s="2">
        <v>98.867249999999999</v>
      </c>
      <c r="F11" s="3">
        <f t="shared" ref="F11:F15" si="2">AVERAGEA(C11:E11)</f>
        <v>98.830353333333335</v>
      </c>
      <c r="G11" s="3">
        <f t="shared" ref="G11:G15" si="3">_xlfn.STDEV.P(C11:E11)</f>
        <v>8.3328581064495116E-2</v>
      </c>
      <c r="I11" s="3">
        <v>20</v>
      </c>
      <c r="J11" s="3">
        <v>98.830353333333335</v>
      </c>
      <c r="K11" s="3">
        <v>8.3328581064495116E-2</v>
      </c>
    </row>
    <row r="12" spans="1:11" x14ac:dyDescent="0.25">
      <c r="A12" s="7"/>
      <c r="B12" s="2">
        <v>4</v>
      </c>
      <c r="C12" s="2">
        <v>78.894099999999995</v>
      </c>
      <c r="D12" s="2">
        <v>81.549620000000004</v>
      </c>
      <c r="E12" s="2">
        <v>83.386570000000006</v>
      </c>
      <c r="F12" s="3">
        <f t="shared" si="2"/>
        <v>81.276763333333335</v>
      </c>
      <c r="G12" s="3">
        <f t="shared" si="3"/>
        <v>1.8441637211544533</v>
      </c>
      <c r="I12" s="3">
        <v>4</v>
      </c>
      <c r="J12" s="3">
        <v>81.276763333333335</v>
      </c>
      <c r="K12" s="3">
        <v>1.8441637211544533</v>
      </c>
    </row>
    <row r="13" spans="1:11" x14ac:dyDescent="0.25">
      <c r="A13" s="7"/>
      <c r="B13" s="2">
        <v>0.8</v>
      </c>
      <c r="C13" s="2">
        <v>24.838069999999998</v>
      </c>
      <c r="D13" s="2">
        <v>30.496860000000002</v>
      </c>
      <c r="E13" s="2">
        <v>26.794889999999999</v>
      </c>
      <c r="F13" s="3">
        <f t="shared" si="2"/>
        <v>27.376606666666664</v>
      </c>
      <c r="G13" s="3">
        <f t="shared" si="3"/>
        <v>2.3465253427473489</v>
      </c>
      <c r="I13" s="3">
        <v>0.8</v>
      </c>
      <c r="J13" s="3">
        <v>27.376606666666664</v>
      </c>
      <c r="K13" s="3">
        <v>2.3465253427473489</v>
      </c>
    </row>
    <row r="14" spans="1:11" x14ac:dyDescent="0.25">
      <c r="A14" s="7"/>
      <c r="B14" s="2">
        <v>0.16</v>
      </c>
      <c r="C14" s="2">
        <v>-3.5968100000000001</v>
      </c>
      <c r="D14" s="2">
        <v>17.870950000000001</v>
      </c>
      <c r="E14" s="2">
        <v>-6.6951099999999997</v>
      </c>
      <c r="F14" s="3">
        <f t="shared" si="2"/>
        <v>2.5263433333333336</v>
      </c>
      <c r="G14" s="3">
        <f t="shared" si="3"/>
        <v>10.923753354915252</v>
      </c>
      <c r="I14" s="3">
        <v>0.16</v>
      </c>
      <c r="J14" s="3">
        <v>2.5263433333333336</v>
      </c>
      <c r="K14" s="3">
        <v>10.923753354915252</v>
      </c>
    </row>
    <row r="15" spans="1:11" x14ac:dyDescent="0.25">
      <c r="A15" s="8"/>
      <c r="B15" s="2">
        <v>3.2000000000000001E-2</v>
      </c>
      <c r="C15" s="2">
        <v>-7.6233000000000004</v>
      </c>
      <c r="D15" s="2">
        <v>5.6456970000000002</v>
      </c>
      <c r="E15" s="2">
        <v>7.893014</v>
      </c>
      <c r="F15" s="3">
        <f t="shared" si="2"/>
        <v>1.9718036666666665</v>
      </c>
      <c r="G15" s="3">
        <f t="shared" si="3"/>
        <v>6.846513429241794</v>
      </c>
      <c r="I15" s="3">
        <v>3.2000000000000001E-2</v>
      </c>
      <c r="J15" s="3">
        <v>1.9718036666666665</v>
      </c>
      <c r="K15" s="3">
        <v>6.846513429241794</v>
      </c>
    </row>
    <row r="17" spans="1:11" x14ac:dyDescent="0.25">
      <c r="A17" s="6" t="s">
        <v>6</v>
      </c>
      <c r="B17" s="4" t="s">
        <v>0</v>
      </c>
      <c r="C17" s="9" t="s">
        <v>5</v>
      </c>
      <c r="D17" s="9"/>
      <c r="E17" s="9"/>
      <c r="F17" s="3" t="s">
        <v>1</v>
      </c>
      <c r="G17" s="3" t="s">
        <v>2</v>
      </c>
      <c r="I17" s="3" t="s">
        <v>3</v>
      </c>
      <c r="J17" s="3" t="s">
        <v>1</v>
      </c>
      <c r="K17" s="3" t="s">
        <v>2</v>
      </c>
    </row>
    <row r="18" spans="1:11" x14ac:dyDescent="0.25">
      <c r="A18" s="7"/>
      <c r="B18" s="2">
        <v>100</v>
      </c>
      <c r="C18" s="2">
        <v>13.02315943</v>
      </c>
      <c r="D18" s="2">
        <v>19.80669662</v>
      </c>
      <c r="E18" s="2">
        <v>27.243457469999999</v>
      </c>
      <c r="F18" s="3">
        <f>AVERAGEA(C18:E18)</f>
        <v>20.024437840000001</v>
      </c>
      <c r="G18" s="3">
        <f>_xlfn.STDEV.P(C18:E18)</f>
        <v>5.807453688480706</v>
      </c>
      <c r="I18" s="2">
        <v>100</v>
      </c>
      <c r="J18" s="3">
        <v>20.024437840000001</v>
      </c>
      <c r="K18" s="3">
        <v>5.807453688480706</v>
      </c>
    </row>
    <row r="19" spans="1:11" x14ac:dyDescent="0.25">
      <c r="A19" s="7"/>
      <c r="B19" s="2">
        <v>33.333333330000002</v>
      </c>
      <c r="C19" s="2">
        <v>-2.4057995399999998</v>
      </c>
      <c r="D19" s="2">
        <v>8.6232971719999991</v>
      </c>
      <c r="E19" s="2">
        <v>8.1950873719999997</v>
      </c>
      <c r="F19" s="3">
        <f>AVERAGEA(C19:E19)</f>
        <v>4.8041950013333325</v>
      </c>
      <c r="G19" s="3">
        <f t="shared" ref="G19:G24" si="4">_xlfn.STDEV.P(C19:E19)</f>
        <v>5.1012323264577528</v>
      </c>
      <c r="I19" s="2">
        <v>33.333333330000002</v>
      </c>
      <c r="J19" s="3">
        <v>4.8041950013333325</v>
      </c>
      <c r="K19" s="3">
        <v>5.1012323264577528</v>
      </c>
    </row>
    <row r="20" spans="1:11" x14ac:dyDescent="0.25">
      <c r="A20" s="7"/>
      <c r="B20" s="2">
        <v>11.11111111</v>
      </c>
      <c r="C20" s="2">
        <v>-4.8360018680000003</v>
      </c>
      <c r="D20" s="2">
        <v>2.7537473829999999</v>
      </c>
      <c r="E20" s="2">
        <v>-1.4978580749999999</v>
      </c>
      <c r="F20" s="3">
        <f t="shared" ref="F20:F24" si="5">AVERAGEA(C20:E20)</f>
        <v>-1.1933708533333334</v>
      </c>
      <c r="G20" s="3">
        <f t="shared" si="4"/>
        <v>3.1059735751593771</v>
      </c>
      <c r="I20" s="2">
        <v>11.11111111</v>
      </c>
      <c r="J20" s="3">
        <v>-1.1933708533333334</v>
      </c>
      <c r="K20" s="3">
        <v>3.1059735751593771</v>
      </c>
    </row>
    <row r="21" spans="1:11" x14ac:dyDescent="0.25">
      <c r="A21" s="7"/>
      <c r="B21" s="2">
        <v>3.703703704</v>
      </c>
      <c r="C21" s="2">
        <v>-0.64117561000000001</v>
      </c>
      <c r="D21" s="2">
        <v>4.4581748470000004</v>
      </c>
      <c r="E21" s="2">
        <v>0.34536298799999998</v>
      </c>
      <c r="F21" s="3">
        <f t="shared" si="5"/>
        <v>1.3874540750000002</v>
      </c>
      <c r="G21" s="3">
        <f t="shared" si="4"/>
        <v>2.208364273397871</v>
      </c>
      <c r="I21" s="2">
        <v>3.703703704</v>
      </c>
      <c r="J21" s="3">
        <v>1.3874540750000002</v>
      </c>
      <c r="K21" s="3">
        <v>2.208364273397871</v>
      </c>
    </row>
    <row r="22" spans="1:11" x14ac:dyDescent="0.25">
      <c r="A22" s="7"/>
      <c r="B22" s="2">
        <v>1.2345679009999999</v>
      </c>
      <c r="C22" s="2">
        <v>-0.85804060900000001</v>
      </c>
      <c r="D22" s="2">
        <v>-4.1007638030000004</v>
      </c>
      <c r="E22" s="2">
        <v>-11.635573920000001</v>
      </c>
      <c r="F22" s="3">
        <f t="shared" si="5"/>
        <v>-5.5314594440000002</v>
      </c>
      <c r="G22" s="3">
        <f t="shared" si="4"/>
        <v>4.5147147255990205</v>
      </c>
      <c r="I22" s="2">
        <v>1.2345679009999999</v>
      </c>
      <c r="J22" s="3">
        <v>-5.5314594440000002</v>
      </c>
      <c r="K22" s="3">
        <v>4.5147147255990205</v>
      </c>
    </row>
    <row r="23" spans="1:11" x14ac:dyDescent="0.25">
      <c r="A23" s="8"/>
      <c r="B23" s="2">
        <v>0.411522634</v>
      </c>
      <c r="C23" s="2">
        <v>9.2039696370000001</v>
      </c>
      <c r="D23" s="2">
        <v>8.2894565060000005</v>
      </c>
      <c r="E23" s="2">
        <v>2.204618918</v>
      </c>
      <c r="F23" s="3">
        <f t="shared" si="5"/>
        <v>6.5660150203333343</v>
      </c>
      <c r="G23" s="3">
        <f t="shared" si="4"/>
        <v>3.1064895018631709</v>
      </c>
      <c r="I23" s="2">
        <v>0.411522634</v>
      </c>
      <c r="J23" s="3">
        <v>6.5660150203333343</v>
      </c>
      <c r="K23" s="3">
        <v>3.1064895018631709</v>
      </c>
    </row>
    <row r="24" spans="1:11" x14ac:dyDescent="0.25">
      <c r="A24" s="5"/>
      <c r="B24" s="2">
        <v>0.13717421099999999</v>
      </c>
      <c r="C24" s="2">
        <v>1.9664617179999999</v>
      </c>
      <c r="D24" s="2">
        <v>-7.8642258619999996</v>
      </c>
      <c r="E24" s="2">
        <v>-0.50448494300000002</v>
      </c>
      <c r="F24" s="3">
        <f t="shared" si="5"/>
        <v>-2.1340830289999997</v>
      </c>
      <c r="G24" s="3">
        <f t="shared" si="4"/>
        <v>4.1755077148623663</v>
      </c>
      <c r="I24" s="2">
        <v>0.13717421099999999</v>
      </c>
      <c r="J24" s="3">
        <v>-2.1340830289999997</v>
      </c>
      <c r="K24" s="3">
        <v>4.1755077148623663</v>
      </c>
    </row>
    <row r="26" spans="1:11" x14ac:dyDescent="0.25">
      <c r="A26" s="6" t="s">
        <v>6</v>
      </c>
      <c r="B26" s="4" t="s">
        <v>0</v>
      </c>
      <c r="C26" s="9" t="s">
        <v>7</v>
      </c>
      <c r="D26" s="9"/>
      <c r="E26" s="9"/>
      <c r="F26" s="3" t="s">
        <v>1</v>
      </c>
      <c r="G26" s="3" t="s">
        <v>2</v>
      </c>
      <c r="I26" s="3" t="s">
        <v>3</v>
      </c>
      <c r="J26" s="3" t="s">
        <v>1</v>
      </c>
      <c r="K26" s="3" t="s">
        <v>2</v>
      </c>
    </row>
    <row r="27" spans="1:11" x14ac:dyDescent="0.25">
      <c r="A27" s="7"/>
      <c r="B27" s="2">
        <v>100</v>
      </c>
      <c r="C27" s="2">
        <v>98.866374239999999</v>
      </c>
      <c r="D27" s="2">
        <v>97.894529439999999</v>
      </c>
      <c r="E27" s="2">
        <v>98.175014160000003</v>
      </c>
      <c r="F27" s="3">
        <f t="shared" ref="F27:F34" si="6">AVERAGEA(C27:E27)</f>
        <v>98.311972613333339</v>
      </c>
      <c r="G27" s="3">
        <f>_xlfn.STDEV.P(C27:E27)</f>
        <v>0.40840240962099567</v>
      </c>
      <c r="I27" s="2">
        <v>100</v>
      </c>
      <c r="J27" s="3">
        <v>98.311972613333339</v>
      </c>
      <c r="K27" s="3">
        <v>0.40840240962099567</v>
      </c>
    </row>
    <row r="28" spans="1:11" x14ac:dyDescent="0.25">
      <c r="A28" s="7"/>
      <c r="B28" s="2">
        <v>33.333333330000002</v>
      </c>
      <c r="C28" s="2">
        <v>95.945624210000005</v>
      </c>
      <c r="D28" s="2">
        <v>96.396486019999998</v>
      </c>
      <c r="E28" s="2">
        <v>96.069640179999993</v>
      </c>
      <c r="F28" s="3">
        <f t="shared" si="6"/>
        <v>96.137250136666651</v>
      </c>
      <c r="G28" s="3">
        <f t="shared" ref="G28:G34" si="7">_xlfn.STDEV.P(C28:E28)</f>
        <v>0.19017084005260326</v>
      </c>
      <c r="I28" s="2">
        <v>33.333333330000002</v>
      </c>
      <c r="J28" s="3">
        <v>96.137250136666651</v>
      </c>
      <c r="K28" s="3">
        <v>0.19017084005260326</v>
      </c>
    </row>
    <row r="29" spans="1:11" x14ac:dyDescent="0.25">
      <c r="A29" s="7"/>
      <c r="B29" s="2">
        <v>11.11111111</v>
      </c>
      <c r="C29" s="2">
        <v>95.59501831</v>
      </c>
      <c r="D29" s="2">
        <v>93.267110990000006</v>
      </c>
      <c r="E29" s="2">
        <v>90.421697769999994</v>
      </c>
      <c r="F29" s="3">
        <f t="shared" si="6"/>
        <v>93.094609023333319</v>
      </c>
      <c r="G29" s="3">
        <f t="shared" si="7"/>
        <v>2.1155186990073127</v>
      </c>
      <c r="I29" s="2">
        <v>11.11111111</v>
      </c>
      <c r="J29" s="3">
        <v>93.094609023333319</v>
      </c>
      <c r="K29" s="3">
        <v>2.1155186990073127</v>
      </c>
    </row>
    <row r="30" spans="1:11" x14ac:dyDescent="0.25">
      <c r="A30" s="7"/>
      <c r="B30" s="2">
        <v>3.703703704</v>
      </c>
      <c r="C30" s="2">
        <v>88.390501569999998</v>
      </c>
      <c r="D30" s="2">
        <v>85.20549321</v>
      </c>
      <c r="E30" s="2">
        <v>81.965431030000005</v>
      </c>
      <c r="F30" s="3">
        <f t="shared" si="6"/>
        <v>85.187141936666663</v>
      </c>
      <c r="G30" s="3">
        <f t="shared" si="7"/>
        <v>2.6230561612895578</v>
      </c>
      <c r="I30" s="2">
        <v>3.703703704</v>
      </c>
      <c r="J30" s="3">
        <v>85.187141936666663</v>
      </c>
      <c r="K30" s="3">
        <v>2.6230561612895578</v>
      </c>
    </row>
    <row r="31" spans="1:11" x14ac:dyDescent="0.25">
      <c r="A31" s="7"/>
      <c r="B31" s="2">
        <v>1.2345679009999999</v>
      </c>
      <c r="C31" s="2">
        <v>75.021116039999995</v>
      </c>
      <c r="D31" s="2">
        <v>70.803993430000006</v>
      </c>
      <c r="E31" s="2">
        <v>66.105294779999994</v>
      </c>
      <c r="F31" s="3">
        <f t="shared" si="6"/>
        <v>70.643468083333332</v>
      </c>
      <c r="G31" s="3">
        <f t="shared" si="7"/>
        <v>3.6416382279828259</v>
      </c>
      <c r="I31" s="2">
        <v>1.2345679009999999</v>
      </c>
      <c r="J31" s="3">
        <v>70.643468083333332</v>
      </c>
      <c r="K31" s="3">
        <v>3.6416382279828259</v>
      </c>
    </row>
    <row r="32" spans="1:11" x14ac:dyDescent="0.25">
      <c r="A32" s="7"/>
      <c r="B32" s="2">
        <v>0.411522634</v>
      </c>
      <c r="C32" s="2">
        <v>59.724846800000002</v>
      </c>
      <c r="D32" s="2">
        <v>59.02421451</v>
      </c>
      <c r="E32" s="2">
        <v>50.845534919999999</v>
      </c>
      <c r="F32" s="3">
        <f t="shared" si="6"/>
        <v>56.531532076666672</v>
      </c>
      <c r="G32" s="3">
        <f t="shared" si="7"/>
        <v>4.0307686736455732</v>
      </c>
      <c r="I32" s="2">
        <v>0.411522634</v>
      </c>
      <c r="J32" s="3">
        <v>56.531532076666672</v>
      </c>
      <c r="K32" s="3">
        <v>4.0307686736455732</v>
      </c>
    </row>
    <row r="33" spans="1:11" x14ac:dyDescent="0.25">
      <c r="A33" s="7"/>
      <c r="B33" s="3">
        <v>0.13717421099999999</v>
      </c>
      <c r="C33" s="3">
        <v>49.269836640000001</v>
      </c>
      <c r="D33" s="3">
        <v>42.976315749999998</v>
      </c>
      <c r="E33" s="3">
        <v>41.179822680000001</v>
      </c>
      <c r="F33" s="3">
        <f t="shared" si="6"/>
        <v>44.475325023333333</v>
      </c>
      <c r="G33" s="3">
        <f t="shared" si="7"/>
        <v>3.4686551735413946</v>
      </c>
      <c r="I33" s="3">
        <v>0.13717421099999999</v>
      </c>
      <c r="J33" s="3">
        <v>44.475325023333333</v>
      </c>
      <c r="K33" s="3">
        <v>3.4686551735413946</v>
      </c>
    </row>
    <row r="34" spans="1:11" x14ac:dyDescent="0.25">
      <c r="A34" s="8"/>
      <c r="B34" s="3">
        <v>4.5724737000000001E-2</v>
      </c>
      <c r="C34" s="3">
        <v>29.704868059999999</v>
      </c>
      <c r="D34" s="3">
        <v>30.02128265</v>
      </c>
      <c r="E34" s="3">
        <v>25.94382289</v>
      </c>
      <c r="F34" s="3">
        <f t="shared" si="6"/>
        <v>28.556657866666665</v>
      </c>
      <c r="G34" s="3">
        <f t="shared" si="7"/>
        <v>1.852063625555872</v>
      </c>
      <c r="I34" s="3">
        <v>4.5724737000000001E-2</v>
      </c>
      <c r="J34" s="3">
        <v>28.556657866666665</v>
      </c>
      <c r="K34" s="3">
        <v>1.852063625555872</v>
      </c>
    </row>
  </sheetData>
  <mergeCells count="8">
    <mergeCell ref="A1:A7"/>
    <mergeCell ref="A26:A34"/>
    <mergeCell ref="A17:A23"/>
    <mergeCell ref="A9:A15"/>
    <mergeCell ref="C1:E1"/>
    <mergeCell ref="C9:E9"/>
    <mergeCell ref="C17:E17"/>
    <mergeCell ref="C26:E2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</dc:creator>
  <cp:lastModifiedBy>Yuan W</cp:lastModifiedBy>
  <dcterms:created xsi:type="dcterms:W3CDTF">2015-06-05T18:19:34Z</dcterms:created>
  <dcterms:modified xsi:type="dcterms:W3CDTF">2026-01-21T10:09:48Z</dcterms:modified>
</cp:coreProperties>
</file>